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inel\Desktop\Yinell_Echavarria_PM_2026_C2\Tarea 11\"/>
    </mc:Choice>
  </mc:AlternateContent>
  <xr:revisionPtr revIDLastSave="0" documentId="13_ncr:1_{9D100A61-F5FB-4285-B62F-6A76FA75AF17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Método Mos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  <c r="I25" i="1"/>
  <c r="J25" i="1" s="1"/>
  <c r="L25" i="1" s="1"/>
  <c r="M25" i="1" s="1"/>
  <c r="K24" i="1"/>
  <c r="I24" i="1"/>
  <c r="J24" i="1" s="1"/>
  <c r="L24" i="1" s="1"/>
  <c r="M24" i="1" s="1"/>
  <c r="K23" i="1"/>
  <c r="I23" i="1"/>
  <c r="J23" i="1" s="1"/>
  <c r="L23" i="1" s="1"/>
  <c r="M23" i="1" s="1"/>
  <c r="K22" i="1"/>
  <c r="I22" i="1"/>
  <c r="J22" i="1" s="1"/>
  <c r="L22" i="1" s="1"/>
  <c r="M22" i="1" s="1"/>
</calcChain>
</file>

<file path=xl/sharedStrings.xml><?xml version="1.0" encoding="utf-8"?>
<sst xmlns="http://schemas.openxmlformats.org/spreadsheetml/2006/main" count="65" uniqueCount="59">
  <si>
    <t>MÉTODO MOSLER - FASES 3 Y 4</t>
  </si>
  <si>
    <t>Fase 3: Evaluación (Fórmulas)</t>
  </si>
  <si>
    <t>Criterio / Indicador</t>
  </si>
  <si>
    <t>Sigla</t>
  </si>
  <si>
    <t>Fórmula</t>
  </si>
  <si>
    <t>Rango</t>
  </si>
  <si>
    <t>Descripción</t>
  </si>
  <si>
    <t>Impacto del Riesgo</t>
  </si>
  <si>
    <t>I</t>
  </si>
  <si>
    <t>F * S</t>
  </si>
  <si>
    <t>1 a 25</t>
  </si>
  <si>
    <t>Multiplica Función (F) por Sustitución (S)</t>
  </si>
  <si>
    <t>Carácter del Riesgo</t>
  </si>
  <si>
    <t>C</t>
  </si>
  <si>
    <t>I + P</t>
  </si>
  <si>
    <t>2 a 30</t>
  </si>
  <si>
    <t>Suma Impacto (I) más Profundidad (P)</t>
  </si>
  <si>
    <t>Probabilidad del Riesgo</t>
  </si>
  <si>
    <t>PR</t>
  </si>
  <si>
    <t>A * V</t>
  </si>
  <si>
    <t>Multiplica Agresión (A) por Vulnerabilidad (V)</t>
  </si>
  <si>
    <t>Riesgo Estimado</t>
  </si>
  <si>
    <t>ER</t>
  </si>
  <si>
    <t>C * PR</t>
  </si>
  <si>
    <t>2 a 750+</t>
  </si>
  <si>
    <t>Resultado final multiplicando Carácter (C) por Probabilidad (PR)</t>
  </si>
  <si>
    <t>Fase 4: Clasificación del Riesgo</t>
  </si>
  <si>
    <t>Rango Mínimo</t>
  </si>
  <si>
    <t>Rango Máximo</t>
  </si>
  <si>
    <t>Nivel de Riesgo</t>
  </si>
  <si>
    <t>Acción a Tomar</t>
  </si>
  <si>
    <t>Muy Bajo</t>
  </si>
  <si>
    <t>Aceptable, no requiere inversión</t>
  </si>
  <si>
    <t>Bajo</t>
  </si>
  <si>
    <t>Tolerable, solo monitoreo</t>
  </si>
  <si>
    <t>Medio</t>
  </si>
  <si>
    <t>Requiere planes de contingencia</t>
  </si>
  <si>
    <t>Elevado</t>
  </si>
  <si>
    <t>Requiere medidas a corto plazo</t>
  </si>
  <si>
    <t>En adelante</t>
  </si>
  <si>
    <t>Muy Alto</t>
  </si>
  <si>
    <t>Inaceptable, requiere contramedidas inmediatas</t>
  </si>
  <si>
    <t>Tabla de Evaluación de Riesgos</t>
  </si>
  <si>
    <t>Nombre del Riesgo</t>
  </si>
  <si>
    <t>F</t>
  </si>
  <si>
    <t>S</t>
  </si>
  <si>
    <t>P</t>
  </si>
  <si>
    <t>E</t>
  </si>
  <si>
    <t>A</t>
  </si>
  <si>
    <t>V</t>
  </si>
  <si>
    <t>Clasificación</t>
  </si>
  <si>
    <t>Incendio en Servidores</t>
  </si>
  <si>
    <t>Incendio en centro de computo</t>
  </si>
  <si>
    <t>Ataque de Ransomware</t>
  </si>
  <si>
    <t>Infeccion por virus informatico</t>
  </si>
  <si>
    <t>Fuga de Agua</t>
  </si>
  <si>
    <t>Fuga de agua sobre equipos</t>
  </si>
  <si>
    <t>Robo en Almacén</t>
  </si>
  <si>
    <t>Robo de equipos y materiales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</si>
</sst>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D27" sqref="D27"/>
    </sheetView>
  </sheetViews>
  <sheetFormatPr defaultRowHeight="15" x14ac:dyDescent="0.25"/>
  <cols>
    <col min="1" max="1" width="36.7109375" customWidth="1"/>
    <col min="2" max="2" width="28.85546875" customWidth="1"/>
    <col min="3" max="3" width="17.140625" customWidth="1"/>
    <col min="4" max="4" width="44.140625" customWidth="1"/>
    <col min="5" max="5" width="57.42578125" customWidth="1"/>
    <col min="6" max="8" width="6" customWidth="1"/>
    <col min="9" max="11" width="8" customWidth="1"/>
    <col min="12" max="12" width="10" customWidth="1"/>
    <col min="13" max="13" width="16" customWidth="1"/>
  </cols>
  <sheetData>
    <row r="1" spans="1:5" ht="18.75" x14ac:dyDescent="0.3">
      <c r="A1" s="1" t="s">
        <v>0</v>
      </c>
    </row>
    <row r="3" spans="1:5" x14ac:dyDescent="0.25">
      <c r="A3" s="2" t="s">
        <v>1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5" t="s">
        <v>8</v>
      </c>
      <c r="C5" s="5" t="s">
        <v>9</v>
      </c>
      <c r="D5" s="5" t="s">
        <v>10</v>
      </c>
      <c r="E5" s="4" t="s">
        <v>11</v>
      </c>
    </row>
    <row r="6" spans="1:5" x14ac:dyDescent="0.25">
      <c r="A6" s="4" t="s">
        <v>12</v>
      </c>
      <c r="B6" s="5" t="s">
        <v>13</v>
      </c>
      <c r="C6" s="5" t="s">
        <v>14</v>
      </c>
      <c r="D6" s="5" t="s">
        <v>15</v>
      </c>
      <c r="E6" s="4" t="s">
        <v>16</v>
      </c>
    </row>
    <row r="7" spans="1:5" x14ac:dyDescent="0.25">
      <c r="A7" s="4" t="s">
        <v>17</v>
      </c>
      <c r="B7" s="5" t="s">
        <v>18</v>
      </c>
      <c r="C7" s="5" t="s">
        <v>19</v>
      </c>
      <c r="D7" s="5" t="s">
        <v>10</v>
      </c>
      <c r="E7" s="4" t="s">
        <v>20</v>
      </c>
    </row>
    <row r="8" spans="1:5" x14ac:dyDescent="0.25">
      <c r="A8" s="4" t="s">
        <v>21</v>
      </c>
      <c r="B8" s="5" t="s">
        <v>22</v>
      </c>
      <c r="C8" s="5" t="s">
        <v>23</v>
      </c>
      <c r="D8" s="5" t="s">
        <v>24</v>
      </c>
      <c r="E8" s="4" t="s">
        <v>25</v>
      </c>
    </row>
    <row r="11" spans="1:5" x14ac:dyDescent="0.25">
      <c r="A11" s="2" t="s">
        <v>26</v>
      </c>
    </row>
    <row r="12" spans="1:5" x14ac:dyDescent="0.25">
      <c r="A12" s="3" t="s">
        <v>27</v>
      </c>
      <c r="B12" s="3" t="s">
        <v>28</v>
      </c>
      <c r="C12" s="3" t="s">
        <v>29</v>
      </c>
      <c r="D12" s="3" t="s">
        <v>30</v>
      </c>
    </row>
    <row r="13" spans="1:5" x14ac:dyDescent="0.25">
      <c r="A13" s="5">
        <v>2</v>
      </c>
      <c r="B13" s="5">
        <v>250</v>
      </c>
      <c r="C13" s="6" t="s">
        <v>31</v>
      </c>
      <c r="D13" s="4" t="s">
        <v>32</v>
      </c>
    </row>
    <row r="14" spans="1:5" x14ac:dyDescent="0.25">
      <c r="A14" s="5">
        <v>251</v>
      </c>
      <c r="B14" s="5">
        <v>500</v>
      </c>
      <c r="C14" s="6" t="s">
        <v>33</v>
      </c>
      <c r="D14" s="4" t="s">
        <v>34</v>
      </c>
    </row>
    <row r="15" spans="1:5" x14ac:dyDescent="0.25">
      <c r="A15" s="5">
        <v>501</v>
      </c>
      <c r="B15" s="5">
        <v>750</v>
      </c>
      <c r="C15" s="6" t="s">
        <v>35</v>
      </c>
      <c r="D15" s="4" t="s">
        <v>36</v>
      </c>
    </row>
    <row r="16" spans="1:5" x14ac:dyDescent="0.25">
      <c r="A16" s="5">
        <v>751</v>
      </c>
      <c r="B16" s="5">
        <v>1000</v>
      </c>
      <c r="C16" s="6" t="s">
        <v>37</v>
      </c>
      <c r="D16" s="4" t="s">
        <v>38</v>
      </c>
    </row>
    <row r="17" spans="1:13" x14ac:dyDescent="0.25">
      <c r="A17" s="5">
        <v>1001</v>
      </c>
      <c r="B17" s="5" t="s">
        <v>39</v>
      </c>
      <c r="C17" s="6" t="s">
        <v>40</v>
      </c>
      <c r="D17" s="4" t="s">
        <v>41</v>
      </c>
    </row>
    <row r="20" spans="1:13" x14ac:dyDescent="0.25">
      <c r="A20" s="2" t="s">
        <v>42</v>
      </c>
    </row>
    <row r="21" spans="1:13" x14ac:dyDescent="0.25">
      <c r="A21" s="3" t="s">
        <v>43</v>
      </c>
      <c r="B21" s="3" t="s">
        <v>6</v>
      </c>
      <c r="C21" s="3" t="s">
        <v>44</v>
      </c>
      <c r="D21" s="3" t="s">
        <v>45</v>
      </c>
      <c r="E21" s="3" t="s">
        <v>46</v>
      </c>
      <c r="F21" s="3" t="s">
        <v>47</v>
      </c>
      <c r="G21" s="3" t="s">
        <v>48</v>
      </c>
      <c r="H21" s="3" t="s">
        <v>49</v>
      </c>
      <c r="I21" s="3" t="s">
        <v>8</v>
      </c>
      <c r="J21" s="3" t="s">
        <v>13</v>
      </c>
      <c r="K21" s="3" t="s">
        <v>18</v>
      </c>
      <c r="L21" s="3" t="s">
        <v>22</v>
      </c>
      <c r="M21" s="3" t="s">
        <v>50</v>
      </c>
    </row>
    <row r="22" spans="1:13" x14ac:dyDescent="0.25">
      <c r="A22" s="4" t="s">
        <v>51</v>
      </c>
      <c r="B22" s="4" t="s">
        <v>52</v>
      </c>
      <c r="C22" s="5">
        <v>5</v>
      </c>
      <c r="D22" s="5">
        <v>5</v>
      </c>
      <c r="E22" s="5">
        <v>5</v>
      </c>
      <c r="F22" s="5">
        <v>4</v>
      </c>
      <c r="G22" s="5">
        <v>2</v>
      </c>
      <c r="H22" s="5">
        <v>3</v>
      </c>
      <c r="I22" s="5">
        <f>C22*D22</f>
        <v>25</v>
      </c>
      <c r="J22" s="5">
        <f>I22+E22</f>
        <v>30</v>
      </c>
      <c r="K22" s="5">
        <f>G22*H22</f>
        <v>6</v>
      </c>
      <c r="L22" s="6">
        <f>J22*K22</f>
        <v>180</v>
      </c>
      <c r="M22" s="6" t="str">
        <f>IF(L22&lt;=250, "Muy Bajo", IF(L22&lt;=500, "Bajo", IF(L22&lt;=750, "Medio", IF(L22&lt;=1000, "Elevado", "Muy Alto"))))</f>
        <v>Muy Bajo</v>
      </c>
    </row>
    <row r="23" spans="1:13" x14ac:dyDescent="0.25">
      <c r="A23" s="4" t="s">
        <v>53</v>
      </c>
      <c r="B23" s="4" t="s">
        <v>54</v>
      </c>
      <c r="C23" s="5">
        <v>5</v>
      </c>
      <c r="D23" s="5">
        <v>4</v>
      </c>
      <c r="E23" s="5">
        <v>4</v>
      </c>
      <c r="F23" s="5">
        <v>4</v>
      </c>
      <c r="G23" s="5">
        <v>4</v>
      </c>
      <c r="H23" s="5">
        <v>4</v>
      </c>
      <c r="I23" s="5">
        <f>C23*D23</f>
        <v>20</v>
      </c>
      <c r="J23" s="5">
        <f>I23+E23</f>
        <v>24</v>
      </c>
      <c r="K23" s="5">
        <f>G23*H23</f>
        <v>16</v>
      </c>
      <c r="L23" s="6">
        <f>J23*K23</f>
        <v>384</v>
      </c>
      <c r="M23" s="6" t="str">
        <f>IF(L23&lt;=250, "Muy Bajo", IF(L23&lt;=500, "Bajo", IF(L23&lt;=750, "Medio", IF(L23&lt;=1000, "Elevado", "Muy Alto"))))</f>
        <v>Bajo</v>
      </c>
    </row>
    <row r="24" spans="1:13" x14ac:dyDescent="0.25">
      <c r="A24" s="4" t="s">
        <v>55</v>
      </c>
      <c r="B24" s="4" t="s">
        <v>56</v>
      </c>
      <c r="C24" s="5">
        <v>4</v>
      </c>
      <c r="D24" s="5">
        <v>3</v>
      </c>
      <c r="E24" s="5">
        <v>3</v>
      </c>
      <c r="F24" s="5">
        <v>2</v>
      </c>
      <c r="G24" s="5">
        <v>5</v>
      </c>
      <c r="H24" s="5">
        <v>5</v>
      </c>
      <c r="I24" s="5">
        <f>C24*D24</f>
        <v>12</v>
      </c>
      <c r="J24" s="5">
        <f>I24+E24</f>
        <v>15</v>
      </c>
      <c r="K24" s="5">
        <f>G24*H24</f>
        <v>25</v>
      </c>
      <c r="L24" s="6">
        <f>J24*K24</f>
        <v>375</v>
      </c>
      <c r="M24" s="6" t="str">
        <f>IF(L24&lt;=250, "Muy Bajo", IF(L24&lt;=500, "Bajo", IF(L24&lt;=750, "Medio", IF(L24&lt;=1000, "Elevado", "Muy Alto"))))</f>
        <v>Bajo</v>
      </c>
    </row>
    <row r="25" spans="1:13" x14ac:dyDescent="0.25">
      <c r="A25" s="4" t="s">
        <v>57</v>
      </c>
      <c r="B25" s="4" t="s">
        <v>58</v>
      </c>
      <c r="C25" s="5">
        <v>5</v>
      </c>
      <c r="D25" s="5">
        <v>5</v>
      </c>
      <c r="E25" s="5">
        <v>5</v>
      </c>
      <c r="F25" s="5">
        <v>5</v>
      </c>
      <c r="G25" s="5">
        <v>5</v>
      </c>
      <c r="H25" s="5">
        <v>5</v>
      </c>
      <c r="I25" s="5">
        <f>C25*D25</f>
        <v>25</v>
      </c>
      <c r="J25" s="5">
        <f>I25+E25</f>
        <v>30</v>
      </c>
      <c r="K25" s="5">
        <f>G25*H25</f>
        <v>25</v>
      </c>
      <c r="L25" s="6">
        <f>J25*K25</f>
        <v>750</v>
      </c>
      <c r="M25" s="6" t="str">
        <f>IF(L25&lt;=250, "Muy Bajo", IF(L25&lt;=500, "Bajo", IF(L25&lt;=750, "Medio", IF(L25&lt;=1000, "Elevado", "Muy Alto"))))</f>
        <v>Medio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Método Mosler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Yinell Abigail Echavarria Lorenzo</cp:lastModifiedBy>
  <dcterms:created xsi:type="dcterms:W3CDTF">2026-08-14T23:49:57Z</dcterms:created>
  <dcterms:modified xsi:type="dcterms:W3CDTF">2026-08-14T23:57:35Z</dcterms:modified>
</cp:coreProperties>
</file>